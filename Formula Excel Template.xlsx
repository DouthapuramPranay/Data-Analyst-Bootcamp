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th\Downloads\"/>
    </mc:Choice>
  </mc:AlternateContent>
  <xr:revisionPtr revIDLastSave="0" documentId="13_ncr:1_{AAA74F52-9A94-4D4F-AE2D-BA706869103D}" xr6:coauthVersionLast="47" xr6:coauthVersionMax="47" xr10:uidLastSave="{00000000-0000-0000-0000-000000000000}"/>
  <bookViews>
    <workbookView xWindow="11424" yWindow="0" windowWidth="11712" windowHeight="13056" firstSheet="9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L2" i="5"/>
  <c r="K2" i="5"/>
  <c r="J2" i="5"/>
  <c r="L2" i="12"/>
  <c r="K2" i="12"/>
  <c r="J2" i="12"/>
  <c r="K2" i="7" a="1"/>
  <c r="J2" i="7" a="1"/>
  <c r="M2" i="7" a="1"/>
  <c r="L2" i="7" a="1"/>
  <c r="J2" i="1" a="1"/>
  <c r="J2" i="6" a="1"/>
  <c r="J2" i="3" a="1"/>
  <c r="M2" i="4" a="1"/>
  <c r="L2" i="4" a="1"/>
  <c r="K2" i="4" a="1"/>
  <c r="J2" i="2" a="1"/>
  <c r="K2" i="8" a="1"/>
  <c r="J2" i="8" a="1"/>
  <c r="K5" i="9"/>
  <c r="J5" i="9"/>
  <c r="K4" i="9"/>
  <c r="J4" i="9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<sst xmlns="http://schemas.openxmlformats.org/spreadsheetml/2006/main" count="583" uniqueCount="91">
  <si>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</si>
  <si>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</si>
  <si>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</si>
  <si>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</si>
  <si>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</si>
  <si>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</si>
  <si>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</si>
  <si>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</si>
  <si>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</si>
  <si>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</si>
  <si>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</si>
  <si>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</si>
  <si>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</si>
  <si>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</si>
  <si>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</si>
  <si>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</si>
  <si>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</si>
  <si>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</si>
  <si>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</si>
  <si>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</si>
  <si>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</si>
  <si>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</si>
  <si>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</si>
  <si>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</si>
  <si>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</si>
  <si>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</si>
  <si>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</si>
  <si>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</si>
  <si>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</si>
  <si>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</si>
  <si>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</si>
  <si>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</si>
  <si>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</si>
  <si>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</si>
  <si>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</si>
  <si>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</si>
  <si>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</si>
  <si>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</si>
  <si>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</si>
  <si>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</si>
  <si>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</si>
  <si>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</si>
  <si>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</si>
  <si>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</si>
  <si>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</si>
  <si>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</si>
  <si>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</si>
  <si>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</si>
  <si>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</si>
  <si>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</si>
  <si>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</si>
  <si>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</si>
  <si>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</si>
  <si>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</si>
  <si>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</si>
  <si>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</si>
  <si>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</si>
  <si>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</si>
  <si>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</si>
  <si>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</si>
  <si>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</si>
  <si>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</si>
  <si>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</si>
  <si>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</si>
  <si>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</si>
  <si>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</si>
  <si>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</si>
  <si>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</si>
  <si>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</si>
  <si>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</si>
  <si>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</si>
  <si>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</si>
  <si>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</si>
  <si>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</si>
  <si>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</si>
  <si>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</si>
  <si>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</si>
  <si>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</si>
  <si>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</si>
  <si>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</si>
  <si>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</si>
  <si>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</si>
  <si>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</si>
  <si>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</si>
  <si>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</si>
  <si>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</si>
  <si>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</si>
  <si>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</si>
  <si>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5-6-2001</t>
  </si>
  <si>
    <t>30/8/2017</t>
  </si>
  <si>
    <t>22/4/2015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</si>
</sst>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7" sqref="J7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1">
        <f>MAX(I2:I10)</f>
        <v>42986</v>
      </c>
      <c r="K4" s="1">
        <f>MIN(I2:I10)</f>
        <v>40800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>MAX(D2:D10)</f>
        <v>38</v>
      </c>
      <c r="K5">
        <f>MIN(D2:D10)</f>
        <v>29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J13" sqref="J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30,"Old","Young")</f>
        <v>Young</v>
      </c>
      <c r="K2" t="str" cm="1">
        <f t="array" ref="K2:K10">_xlfn.IFS(
  F2:F10="Salesman","sales",
  F2:F10="Regional Manager","Give Christmas Bonus",
  F2:F10="HR","Fire Immediately",
  TRUE,"No Match"
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No Match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No Match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>No Match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No 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LEFT(B2:B10,"3")</f>
        <v>Jim</v>
      </c>
      <c r="L2" t="str" cm="1">
        <f t="array" ref="L2:L10">RIGHT(A2:A10,"1")</f>
        <v>1</v>
      </c>
      <c r="M2" t="str" cm="1">
        <f t="array" ref="M2:M10">RIGHT(H2:H10,"4")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M1" workbookViewId="0">
      <selection activeCell="I6" sqref="I6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4.2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TEXT(DateToText!H2:H10,"dd/mm/yyyy")</f>
        <v>02/11/2001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D1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M20"/>
  <sheetViews>
    <sheetView topLeftCell="G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SUBSTITUTE(I2:I10,"/","-",2)</f>
        <v>9/6-2015</v>
      </c>
      <c r="L2" t="str" cm="1">
        <f t="array" ref="L2:L10">SUBSTITUTE(H2:H10,"-","/")</f>
        <v>11/2/2001</v>
      </c>
      <c r="M2" t="str" cm="1">
        <f t="array" ref="M2:M10">SUBSTITUTE(I2:I10,"/","-")</f>
        <v>9-6-2015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10/10-2015</v>
      </c>
      <c r="L3" t="str">
        <v>10/3/1999</v>
      </c>
      <c r="M3" t="str">
        <v>10-10-2015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9/8-2017</v>
      </c>
      <c r="L4" t="str">
        <v>7/4/2000</v>
      </c>
      <c r="M4" t="str">
        <v>9-8-2017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12/3-2015</v>
      </c>
      <c r="L5" t="str">
        <v>1/5/2000</v>
      </c>
      <c r="M5" t="str">
        <v>12-3-2015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88</v>
      </c>
      <c r="I6" s="2" t="s">
        <v>60</v>
      </c>
      <c r="J6" t="str">
        <v>5-6-2001</v>
      </c>
      <c r="K6" t="str">
        <v>8/30-2017</v>
      </c>
      <c r="L6" t="str">
        <v>5/6/2001</v>
      </c>
      <c r="M6" t="str">
        <v>8-30-2017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9/11-2013</v>
      </c>
      <c r="L7" t="str">
        <v>5/6/2001</v>
      </c>
      <c r="M7" t="str">
        <v>9-11-2013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9/11-2013</v>
      </c>
      <c r="L8" t="str">
        <v>11/8/2003</v>
      </c>
      <c r="M8" t="str">
        <v>9-11-2013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4/22-2015</v>
      </c>
      <c r="L9" t="str">
        <v>6/9/2002</v>
      </c>
      <c r="M9" t="str">
        <v>4-22-2015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4/22-2015</v>
      </c>
      <c r="L10" t="str">
        <v>8/10/2003</v>
      </c>
      <c r="M10" t="str">
        <v>4-22-2015</v>
      </c>
    </row>
    <row r="12" spans="1:13" x14ac:dyDescent="0.3">
      <c r="H12" s="2"/>
      <c r="I12" s="2"/>
    </row>
    <row r="13" spans="1:13" x14ac:dyDescent="0.3">
      <c r="H13" s="2"/>
      <c r="I13" s="2"/>
    </row>
    <row r="14" spans="1:13" x14ac:dyDescent="0.3">
      <c r="H14" s="2"/>
      <c r="I14" s="2"/>
    </row>
    <row r="15" spans="1:13" x14ac:dyDescent="0.3">
      <c r="H15" s="2"/>
      <c r="I15" s="2"/>
    </row>
    <row r="16" spans="1:13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I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F1"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COUNT(H2:H10)</f>
        <v>9</v>
      </c>
      <c r="K2">
        <f>COUNTIF(G2:G10,"&gt;60000")</f>
        <v>2</v>
      </c>
      <c r="L2">
        <f>COUNTIFS(E2:E10,"Male",D2:D10,"&gt;30")</f>
        <v>4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opLeftCell="E1" workbookViewId="0">
      <selection activeCell="J3" sqref="J3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M7" sqref="M7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89</v>
      </c>
      <c r="J6">
        <f>_xlfn.DAYS(I6,H6)</f>
        <v>5930</v>
      </c>
      <c r="K6">
        <f t="shared" si="1"/>
        <v>4237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90</v>
      </c>
      <c r="J9">
        <f t="shared" si="0"/>
        <v>4611</v>
      </c>
      <c r="K9">
        <f t="shared" si="1"/>
        <v>3294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90</v>
      </c>
      <c r="J10">
        <f t="shared" si="0"/>
        <v>4214</v>
      </c>
      <c r="K10">
        <f t="shared" si="1"/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Pranay Douthapuram</cp:lastModifiedBy>
  <dcterms:created xsi:type="dcterms:W3CDTF">2021-12-16T14:18:34Z</dcterms:created>
  <dcterms:modified xsi:type="dcterms:W3CDTF">2026-07-09T17:09:34Z</dcterms:modified>
</cp:coreProperties>
</file>